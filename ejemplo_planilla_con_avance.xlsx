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i avance" sheetId="1" r:id="rId1"/>
    <sheet name="Unidades curriculares" sheetId="2" r:id="rId2"/>
  </sheets>
  <calcPr calcId="191029" fullCalcOnLoad="1"/>
</workbook>
</file>

<file path=xl/styles.xml><?xml version="1.0" encoding="utf-8"?>
<styleSheet xmlns="http://schemas.openxmlformats.org/spreadsheetml/2006/main">
  <fonts count="8">
    <font>
      <sz val="10"/>
      <color rgb="FF222222"/>
      <name val="Arial"/>
      <family val="2"/>
    </font>
    <font>
      <b/>
      <sz val="14"/>
      <color rgb="FF1F4A87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22222"/>
      <name val="Arial"/>
      <family val="2"/>
    </font>
    <font>
      <b/>
      <sz val="12"/>
      <color rgb="FF1F4A87"/>
      <name val="Arial"/>
      <family val="2"/>
    </font>
    <font>
      <sz val="10"/>
      <color rgb="FF3B6CB7"/>
      <name val="Arial"/>
      <family val="2"/>
    </font>
    <font>
      <b/>
      <sz val="10"/>
      <color rgb="FF3B6CB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B6CB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EEF2FB"/>
        <bgColor indexed="6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8">
    <xf numFmtId="0" fontId="0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 wrapText="1"/>
    </xf>
    <xf numFmtId="9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color rgb="FF1C7A3D"/>
      </font>
      <fill>
        <patternFill patternType="solid">
          <bgColor rgb="FFD9F3DF"/>
        </patternFill>
      </fill>
    </dxf>
    <dxf>
      <font>
        <color rgb="FF666666"/>
      </font>
      <fill>
        <patternFill patternType="solid">
          <bgColor rgb="FFE4E4E4"/>
        </patternFill>
      </fill>
    </dxf>
    <dxf>
      <font>
        <color rgb="FFC0392B"/>
      </font>
      <fill>
        <patternFill patternType="solid">
          <bgColor rgb="FFFDECE9"/>
        </patternFill>
      </fill>
    </dxf>
    <dxf>
      <font>
        <color rgb="FF9A7212"/>
      </font>
      <fill>
        <patternFill patternType="solid">
          <bgColor rgb="FFFDF3D9"/>
        </patternFill>
      </fill>
    </dxf>
    <dxf>
      <font>
        <color rgb="FF2F7A47"/>
      </font>
      <fill>
        <patternFill patternType="solid">
          <bgColor rgb="FFEAF7EE"/>
        </patternFill>
      </fill>
    </dxf>
    <dxf>
      <font>
        <color rgb="FF6A4FA0"/>
      </font>
      <fill>
        <patternFill patternType="solid">
          <bgColor rgb="FFEFEAF8"/>
        </patternFill>
      </fill>
    </dxf>
    <dxf>
      <font>
        <color rgb="FF3B6CB7"/>
      </font>
      <fill>
        <patternFill patternType="solid">
          <bgColor rgb="FFEEF2FB"/>
        </patternFill>
      </fill>
    </dxf>
    <dxf>
      <font>
        <color rgb="FF777777"/>
      </font>
      <fill>
        <patternFill patternType="solid">
          <bgColor rgb="FFF0F0F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44" customWidth="1"/>
    <col min="2" max="2" width="14" customWidth="1"/>
    <col min="3" max="3" width="14" customWidth="1"/>
    <col min="4" max="4" width="12" customWidth="1"/>
    <col min="5" max="5" width="11" customWidth="1"/>
    <col min="6" max="6" width="26" customWidth="1"/>
    <col min="7" max="7" width="14" customWidth="1"/>
  </cols>
  <sheetData>
    <row r="1">
      <c r="A1" s="1" t="inlineStr">
        <is>
          <t xml:space="preserve">Simulador de previaturas · Licenciatura en Geografía</t>
        </is>
      </c>
    </row>
    <row r="2" ht="30" customHeight="1">
      <c r="A2" s="2" t="inlineStr">
        <is>
          <t xml:space="preserve">Planilla generada el 02/10/2026 con lo que marcaste en el simulador. Esta hoja se calcula sola: marcá tus unidades curriculares aprobadas en la hoja Unidades curriculares y acá vas a ver tu avance.</t>
        </is>
      </c>
    </row>
    <row r="4" ht="30" customHeight="1">
      <c r="A4" s="3" t="inlineStr">
        <is>
          <t xml:space="preserve">Área</t>
        </is>
      </c>
      <c r="B4" s="3" t="inlineStr">
        <is>
          <t xml:space="preserve">Créditos acumulados</t>
        </is>
      </c>
      <c r="C4" s="3" t="inlineStr">
        <is>
          <t xml:space="preserve">Mínimo para el TFG</t>
        </is>
      </c>
      <c r="D4" s="3" t="inlineStr">
        <is>
          <t xml:space="preserve">Te faltan</t>
        </is>
      </c>
      <c r="E4" s="3" t="inlineStr">
        <is>
          <t xml:space="preserve">Avance</t>
        </is>
      </c>
      <c r="F4" s="3" t="inlineStr">
        <is>
          <t xml:space="preserve">Progreso</t>
        </is>
      </c>
      <c r="G4" s="3" t="inlineStr">
        <is>
          <t xml:space="preserve">Estado</t>
        </is>
      </c>
    </row>
    <row r="5">
      <c r="A5" s="4" t="inlineStr">
        <is>
          <t xml:space="preserve">Conocimientos Básicos y Generales</t>
        </is>
      </c>
      <c r="B5" s="5">
        <f>SUMIF('Unidades curriculares'!$C:$C,"Conocimientos Básicos y Generales",'Unidades curriculares'!$F:$F)</f>
        <v>15</v>
      </c>
      <c r="C5" s="5">
        <v>60</v>
      </c>
      <c r="D5" s="5">
        <f>MAX(0,C5-B5)</f>
        <v>45</v>
      </c>
      <c r="E5" s="8">
        <f>IF(C5&gt;0,MIN(1,B5/C5),0)</f>
        <v>0.25</v>
      </c>
      <c r="F5" s="9" t="str">
        <f>REPT("█",ROUND(E5*20,0))&amp;REPT("░",20-ROUND(E5*20,0))</f>
        <v>█████░░░░░░░░░░░░░░░</v>
      </c>
      <c r="G5" s="5" t="str">
        <f>IF(B5&gt;=C5,"✓ Cumplido","Pendiente")</f>
        <v>Pendiente</v>
      </c>
    </row>
    <row r="6">
      <c r="A6" s="4" t="inlineStr">
        <is>
          <t xml:space="preserve">Teórico-Metodológico</t>
        </is>
      </c>
      <c r="B6" s="5">
        <f>SUMIF('Unidades curriculares'!$C:$C,"Teórico-Metodológico",'Unidades curriculares'!$F:$F)</f>
        <v>12</v>
      </c>
      <c r="C6" s="5">
        <v>45</v>
      </c>
      <c r="D6" s="5">
        <f>MAX(0,C6-B6)</f>
        <v>33</v>
      </c>
      <c r="E6" s="8">
        <f>IF(C6&gt;0,MIN(1,B6/C6),0)</f>
        <v>0.26666666666666666</v>
      </c>
      <c r="F6" s="9" t="str">
        <f>REPT("█",ROUND(E6*20,0))&amp;REPT("░",20-ROUND(E6*20,0))</f>
        <v>█████░░░░░░░░░░░░░░░</v>
      </c>
      <c r="G6" s="5" t="str">
        <f>IF(B6&gt;=C6,"✓ Cumplido","Pendiente")</f>
        <v>Pendiente</v>
      </c>
    </row>
    <row r="7">
      <c r="A7" s="4" t="inlineStr">
        <is>
          <t xml:space="preserve">Socioespacial</t>
        </is>
      </c>
      <c r="B7" s="5">
        <f>SUMIF('Unidades curriculares'!$C:$C,"Socioespacial",'Unidades curriculares'!$F:$F)</f>
        <v>12</v>
      </c>
      <c r="C7" s="5">
        <v>45</v>
      </c>
      <c r="D7" s="5">
        <f>MAX(0,C7-B7)</f>
        <v>33</v>
      </c>
      <c r="E7" s="8">
        <f>IF(C7&gt;0,MIN(1,B7/C7),0)</f>
        <v>0.26666666666666666</v>
      </c>
      <c r="F7" s="9" t="str">
        <f>REPT("█",ROUND(E7*20,0))&amp;REPT("░",20-ROUND(E7*20,0))</f>
        <v>█████░░░░░░░░░░░░░░░</v>
      </c>
      <c r="G7" s="5" t="str">
        <f>IF(B7&gt;=C7,"✓ Cumplido","Pendiente")</f>
        <v>Pendiente</v>
      </c>
    </row>
    <row r="8">
      <c r="A8" s="4" t="inlineStr">
        <is>
          <t xml:space="preserve">Sistemas Ambientales</t>
        </is>
      </c>
      <c r="B8" s="5">
        <f>SUMIF('Unidades curriculares'!$C:$C,"Sistemas Ambientales",'Unidades curriculares'!$F:$F)</f>
        <v>10</v>
      </c>
      <c r="C8" s="5">
        <v>40</v>
      </c>
      <c r="D8" s="5">
        <f>MAX(0,C8-B8)</f>
        <v>30</v>
      </c>
      <c r="E8" s="8">
        <f>IF(C8&gt;0,MIN(1,B8/C8),0)</f>
        <v>0.25</v>
      </c>
      <c r="F8" s="9" t="str">
        <f>REPT("█",ROUND(E8*20,0))&amp;REPT("░",20-ROUND(E8*20,0))</f>
        <v>█████░░░░░░░░░░░░░░░</v>
      </c>
      <c r="G8" s="5" t="str">
        <f>IF(B8&gt;=C8,"✓ Cumplido","Pendiente")</f>
        <v>Pendiente</v>
      </c>
    </row>
    <row r="9">
      <c r="A9" s="4" t="inlineStr">
        <is>
          <t xml:space="preserve">Tecnologías de la Información Geográfica</t>
        </is>
      </c>
      <c r="B9" s="5">
        <f>SUMIF('Unidades curriculares'!$C:$C,"Tecnologías de la Información Geográfica",'Unidades curriculares'!$F:$F)</f>
        <v>24</v>
      </c>
      <c r="C9" s="5">
        <v>30</v>
      </c>
      <c r="D9" s="5">
        <f>MAX(0,C9-B9)</f>
        <v>6</v>
      </c>
      <c r="E9" s="8">
        <f>IF(C9&gt;0,MIN(1,B9/C9),0)</f>
        <v>0.8</v>
      </c>
      <c r="F9" s="9" t="str">
        <f>REPT("█",ROUND(E9*20,0))&amp;REPT("░",20-ROUND(E9*20,0))</f>
        <v>████████████████░░░░</v>
      </c>
      <c r="G9" s="5" t="str">
        <f>IF(B9&gt;=C9,"✓ Cumplido","Pendiente")</f>
        <v>Pendiente</v>
      </c>
    </row>
    <row r="10">
      <c r="A10" s="4" t="inlineStr">
        <is>
          <t xml:space="preserve">Extensión u optativas (no tiene mínimo)</t>
        </is>
      </c>
      <c r="B10" s="5">
        <f>SUMIF('Unidades curriculares'!$C:$C,"Extensión u optativas",'Unidades curriculares'!$F:$F)</f>
        <v>7</v>
      </c>
      <c r="C10" s="15"/>
      <c r="D10" s="15"/>
      <c r="E10" s="15"/>
      <c r="F10" s="15"/>
      <c r="G10" s="15"/>
    </row>
    <row r="12">
      <c r="A12" s="10" t="inlineStr">
        <is>
          <t xml:space="preserve">Créditos totales acumulados</t>
        </is>
      </c>
      <c r="B12" s="11">
        <f>SUM('Unidades curriculares'!$F:$F)</f>
        <v>80</v>
      </c>
      <c r="C12" s="11">
        <v>220</v>
      </c>
      <c r="D12" s="11">
        <f>MAX(0,C12-B12)</f>
        <v>140</v>
      </c>
      <c r="E12" s="16">
        <f>IF(C12&gt;0,MIN(1,B12/C12),0)</f>
        <v>0.36363636363636365</v>
      </c>
      <c r="F12" s="17" t="str">
        <f>REPT("█",ROUND(E12*20,0))&amp;REPT("░",20-ROUND(E12*20,0))</f>
        <v>███████░░░░░░░░░░░░░</v>
      </c>
      <c r="G12" s="11" t="str">
        <f>IF(B12&gt;=C12,"✓ Cumplido","Pendiente")</f>
        <v>Pendiente</v>
      </c>
    </row>
    <row r="13">
      <c r="A13" s="4" t="inlineStr">
        <is>
          <t xml:space="preserve">Créditos de la trayectoria por semestre</t>
        </is>
      </c>
      <c r="B13" s="5">
        <f>SUM('Unidades curriculares'!$F$6:$F$23)</f>
        <v>48</v>
      </c>
      <c r="C13" s="15"/>
      <c r="D13" s="15"/>
      <c r="E13" s="15"/>
      <c r="F13" s="15"/>
      <c r="G13" s="15"/>
    </row>
    <row r="15" ht="30" customHeight="1">
      <c r="A15" s="10" t="inlineStr">
        <is>
          <t xml:space="preserve">Trabajo Final de Grado</t>
        </is>
      </c>
      <c r="B15" s="14" t="str">
        <f>IF(AND(B12&gt;=C12,B5&gt;=C5,B6&gt;=C6,B7&gt;=C7,B8&gt;=C8,B9&gt;=C9),"✓ Ya cumplís los créditos para el Trabajo Final de Grado","Todavía no cumplís los créditos para el Trabajo Final de Grado. Mirá la columna Te faltan.")</f>
        <v>Todavía no cumplís los créditos para el Trabajo Final de Grado. Mirá la columna Te faltan.</v>
      </c>
      <c r="C15" s="14"/>
      <c r="D15" s="14"/>
      <c r="E15" s="14"/>
      <c r="F15" s="14"/>
      <c r="G15" s="14"/>
    </row>
    <row r="17">
      <c r="A17" s="12" t="inlineStr">
        <is>
          <t xml:space="preserve">Cómo usar esta planilla</t>
        </is>
      </c>
    </row>
    <row r="18" ht="28" customHeight="1">
      <c r="A18" s="2" t="inlineStr">
        <is>
          <t xml:space="preserve">1. Andá a la hoja Unidades curriculares y elegí "Sí" en la columna ¿Aprobada? de cada unidad curricular que aprobaste. Las celdas amarillas son las únicas que tenés que tocar.</t>
        </is>
      </c>
    </row>
    <row r="19" ht="28" customHeight="1">
      <c r="A19" s="2" t="inlineStr">
        <is>
          <t xml:space="preserve">2. La sección 1 es la trayectoria sugerida por semestre. La columna Estado te dice si ya podés cursar cada unidad curricular o qué te falta.</t>
        </is>
      </c>
    </row>
    <row r="20" ht="28" customHeight="1">
      <c r="A20" s="2" t="inlineStr">
        <is>
          <t xml:space="preserve">3. La sección 2 tiene las unidades curriculares sin semestre fijo, que podés ir intercalando. Algunas traen un semestre sugerido como orientación.</t>
        </is>
      </c>
    </row>
    <row r="21" ht="28" customHeight="1">
      <c r="A21" s="2" t="inlineStr">
        <is>
          <t xml:space="preserve">4. Si cursaste algo que no está en la lista, agregalo en la sección 3 con su área y sus créditos.</t>
        </is>
      </c>
    </row>
    <row r="22" ht="28" customHeight="1">
      <c r="A22" s="2" t="inlineStr">
        <is>
          <t xml:space="preserve">5. Esta hoja suma todo automáticamente y muestra cuánto te falta en cada área y en el total.</t>
        </is>
      </c>
    </row>
    <row r="24" ht="28" customHeight="1">
      <c r="A24" s="2" t="inlineStr">
        <is>
          <t xml:space="preserve">Los mínimos por área y los 220 créditos totales corresponden al plan de estudios vigente. Esta planilla es una ayuda para planificar y no sustituye la información oficial de Bedelía.</t>
        </is>
      </c>
    </row>
  </sheetData>
  <mergeCells count="9">
    <mergeCell ref="A1:G1"/>
    <mergeCell ref="A2:G2"/>
    <mergeCell ref="B15:G15"/>
    <mergeCell ref="A18:G18"/>
    <mergeCell ref="A19:G19"/>
    <mergeCell ref="A20:G20"/>
    <mergeCell ref="A21:G21"/>
    <mergeCell ref="A22:G22"/>
    <mergeCell ref="A24:G24"/>
  </mergeCells>
  <conditionalFormatting sqref="G5:G9 G12">
    <cfRule type="expression" dxfId="0" priority="1">
      <formula>LEFT(G5,1)="✓"</formula>
    </cfRule>
  </conditionalFormatting>
  <conditionalFormatting sqref="B15">
    <cfRule type="expression" dxfId="0" priority="2">
      <formula>LEFT($B$15,1)="✓"</formula>
    </cfRule>
  </conditionalFormatting>
  <conditionalFormatting sqref="A5:A10">
    <cfRule type="expression" dxfId="2" priority="3">
      <formula>$A5="Teórico-Metodológico"</formula>
    </cfRule>
    <cfRule type="expression" dxfId="3" priority="4">
      <formula>$A5="Socioespacial"</formula>
    </cfRule>
    <cfRule type="expression" dxfId="4" priority="5">
      <formula>$A5="Sistemas Ambientales"</formula>
    </cfRule>
    <cfRule type="expression" dxfId="5" priority="6">
      <formula>$A5="Tecnologías de la Información Geográfica"</formula>
    </cfRule>
    <cfRule type="expression" dxfId="6" priority="7">
      <formula>$A5="Conocimientos Básicos y Generales"</formula>
    </cfRule>
    <cfRule type="expression" dxfId="7" priority="8">
      <formula>$A5="Extensión u optativas"</formula>
    </cfRule>
  </conditionalFormatting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2" customWidth="1"/>
    <col min="2" max="2" width="50" customWidth="1"/>
    <col min="3" max="3" width="34" customWidth="1"/>
    <col min="4" max="4" width="10" customWidth="1"/>
    <col min="5" max="5" width="12" customWidth="1"/>
    <col min="6" max="6" width="13" customWidth="1"/>
    <col min="7" max="7" width="46" customWidth="1"/>
    <col min="8" max="8" width="36" customWidth="1"/>
  </cols>
  <sheetData>
    <row r="1">
      <c r="A1" s="1" t="inlineStr">
        <is>
          <t xml:space="preserve">Unidades curriculares de la Licenciatura en Geografía</t>
        </is>
      </c>
    </row>
    <row r="2" ht="30" customHeight="1">
      <c r="A2" s="2" t="inlineStr">
        <is>
          <t xml:space="preserve">Elegí "Sí" en la columna ¿Aprobada? (celdas amarillas) para cada unidad curricular que ya aprobaste. Los créditos obtenidos, el estado de cada unidad curricular y la hoja Mi avance se actualizan solos.</t>
        </is>
      </c>
    </row>
    <row r="4">
      <c r="A4" s="12" t="inlineStr">
        <is>
          <t xml:space="preserve">1. Trayectoria sugerida por semestre</t>
        </is>
      </c>
    </row>
    <row r="5" ht="30" customHeight="1">
      <c r="A5" s="3" t="inlineStr">
        <is>
          <t xml:space="preserve">Semestre</t>
        </is>
      </c>
      <c r="B5" s="3" t="inlineStr">
        <is>
          <t xml:space="preserve">Unidad curricular</t>
        </is>
      </c>
      <c r="C5" s="3" t="inlineStr">
        <is>
          <t xml:space="preserve">Área</t>
        </is>
      </c>
      <c r="D5" s="3" t="inlineStr">
        <is>
          <t xml:space="preserve">Créditos</t>
        </is>
      </c>
      <c r="E5" s="3" t="inlineStr">
        <is>
          <t xml:space="preserve">¿Aprobada?</t>
        </is>
      </c>
      <c r="F5" s="3" t="inlineStr">
        <is>
          <t xml:space="preserve">Créditos obtenidos</t>
        </is>
      </c>
      <c r="G5" s="3" t="inlineStr">
        <is>
          <t xml:space="preserve">Estado</t>
        </is>
      </c>
      <c r="H5" s="3" t="inlineStr">
        <is>
          <t xml:space="preserve">Previaturas</t>
        </is>
      </c>
    </row>
    <row r="6">
      <c r="A6" s="5">
        <v>1</v>
      </c>
      <c r="B6" s="4" t="inlineStr">
        <is>
          <t xml:space="preserve">Introducción y métodos de la geografía</t>
        </is>
      </c>
      <c r="C6" s="4" t="inlineStr">
        <is>
          <t xml:space="preserve">Teórico-Metodológico</t>
        </is>
      </c>
      <c r="D6" s="5">
        <v>12</v>
      </c>
      <c r="E6" s="6" t="inlineStr">
        <is>
          <t xml:space="preserve">Sí</t>
        </is>
      </c>
      <c r="F6" s="5">
        <f>IF($E6="Sí",$D6,0)</f>
        <v>12</v>
      </c>
      <c r="G6" s="13" t="str">
        <f>IF($E6="Sí","✓ Aprobada","Podés cursarla")</f>
        <v>✓ Aprobada</v>
      </c>
      <c r="H6" s="4" t="inlineStr">
        <is>
          <t xml:space="preserve">Sin previaturas</t>
        </is>
      </c>
    </row>
    <row r="7">
      <c r="A7" s="5">
        <v>1</v>
      </c>
      <c r="B7" s="4" t="inlineStr">
        <is>
          <t xml:space="preserve">Cartografía</t>
        </is>
      </c>
      <c r="C7" s="4" t="inlineStr">
        <is>
          <t xml:space="preserve">Tecnologías de la Información Geográfica</t>
        </is>
      </c>
      <c r="D7" s="5">
        <v>12</v>
      </c>
      <c r="E7" s="6" t="inlineStr">
        <is>
          <t xml:space="preserve">Sí</t>
        </is>
      </c>
      <c r="F7" s="5">
        <f>IF($E7="Sí",$D7,0)</f>
        <v>12</v>
      </c>
      <c r="G7" s="13" t="str">
        <f>IF($E7="Sí","✓ Aprobada","Podés cursarla")</f>
        <v>✓ Aprobada</v>
      </c>
      <c r="H7" s="4" t="inlineStr">
        <is>
          <t xml:space="preserve">Sin previaturas</t>
        </is>
      </c>
    </row>
    <row r="8">
      <c r="A8" s="5">
        <v>2</v>
      </c>
      <c r="B8" s="4" t="inlineStr">
        <is>
          <t xml:space="preserve">Fotointerpretación</t>
        </is>
      </c>
      <c r="C8" s="4" t="inlineStr">
        <is>
          <t xml:space="preserve">Tecnologías de la Información Geográfica</t>
        </is>
      </c>
      <c r="D8" s="5">
        <v>12</v>
      </c>
      <c r="E8" s="6"/>
      <c r="F8" s="5">
        <f>IF($E8="Sí",$D8,0)</f>
        <v>0</v>
      </c>
      <c r="G8" s="13" t="str">
        <f>IF($E8="Sí","✓ Aprobada",IF(AND($E$7="Sí"),"Podés cursarla","Falta aprobar: Cartografía"))</f>
        <v>Podés cursarla</v>
      </c>
      <c r="H8" s="4" t="inlineStr">
        <is>
          <t xml:space="preserve">Aprobar Cartografía</t>
        </is>
      </c>
    </row>
    <row r="9">
      <c r="A9" s="5">
        <v>2</v>
      </c>
      <c r="B9" s="4" t="inlineStr">
        <is>
          <t xml:space="preserve">Sistemas de Información Geográfica</t>
        </is>
      </c>
      <c r="C9" s="4" t="inlineStr">
        <is>
          <t xml:space="preserve">Tecnologías de la Información Geográfica</t>
        </is>
      </c>
      <c r="D9" s="5">
        <v>12</v>
      </c>
      <c r="E9" s="6" t="inlineStr">
        <is>
          <t xml:space="preserve">Sí</t>
        </is>
      </c>
      <c r="F9" s="5">
        <f>IF($E9="Sí",$D9,0)</f>
        <v>12</v>
      </c>
      <c r="G9" s="13" t="str">
        <f>IF($E9="Sí","✓ Aprobada",IF(AND($E$7="Sí"),"Podés cursarla","Falta aprobar: Cartografía"))</f>
        <v>✓ Aprobada</v>
      </c>
      <c r="H9" s="4" t="inlineStr">
        <is>
          <t xml:space="preserve">Aprobar Cartografía</t>
        </is>
      </c>
    </row>
    <row r="10">
      <c r="A10" s="5">
        <v>2</v>
      </c>
      <c r="B10" s="4" t="inlineStr">
        <is>
          <t xml:space="preserve">Hidrogeografía</t>
        </is>
      </c>
      <c r="C10" s="4" t="inlineStr">
        <is>
          <t xml:space="preserve">Sistemas Ambientales</t>
        </is>
      </c>
      <c r="D10" s="5">
        <v>8</v>
      </c>
      <c r="E10" s="6"/>
      <c r="F10" s="5">
        <f>IF($E10="Sí",$D10,0)</f>
        <v>0</v>
      </c>
      <c r="G10" s="13" t="str">
        <f>IF($E10="Sí","✓ Aprobada",IF(AND($E$7="Sí"),"Podés cursarla","Podés cursarla (se sugiere aprobar antes Cartografía)"))</f>
        <v>Podés cursarla</v>
      </c>
      <c r="H10" s="4" t="inlineStr">
        <is>
          <t xml:space="preserve">Sugerida (no obligatoria): Cartografía</t>
        </is>
      </c>
    </row>
    <row r="11">
      <c r="A11" s="5">
        <v>2</v>
      </c>
      <c r="B11" s="4" t="inlineStr">
        <is>
          <t xml:space="preserve">Geografía Humana</t>
        </is>
      </c>
      <c r="C11" s="4" t="inlineStr">
        <is>
          <t xml:space="preserve">Socioespacial</t>
        </is>
      </c>
      <c r="D11" s="5">
        <v>12</v>
      </c>
      <c r="E11" s="6" t="inlineStr">
        <is>
          <t xml:space="preserve">Sí</t>
        </is>
      </c>
      <c r="F11" s="5">
        <f>IF($E11="Sí",$D11,0)</f>
        <v>12</v>
      </c>
      <c r="G11" s="13" t="str">
        <f>IF($E11="Sí","✓ Aprobada","Podés cursarla")</f>
        <v>✓ Aprobada</v>
      </c>
      <c r="H11" s="4" t="inlineStr">
        <is>
          <t xml:space="preserve">Sin previaturas</t>
        </is>
      </c>
    </row>
    <row r="12">
      <c r="A12" s="5">
        <v>3</v>
      </c>
      <c r="B12" s="4" t="inlineStr">
        <is>
          <t xml:space="preserve">Geografía Económica</t>
        </is>
      </c>
      <c r="C12" s="4" t="inlineStr">
        <is>
          <t xml:space="preserve">Socioespacial</t>
        </is>
      </c>
      <c r="D12" s="5">
        <v>12</v>
      </c>
      <c r="E12" s="6"/>
      <c r="F12" s="5">
        <f>IF($E12="Sí",$D12,0)</f>
        <v>0</v>
      </c>
      <c r="G12" s="13" t="str">
        <f>IF($E12="Sí","✓ Aprobada","Podés cursarla")</f>
        <v>Podés cursarla</v>
      </c>
      <c r="H12" s="4" t="inlineStr">
        <is>
          <t xml:space="preserve">Sin previaturas</t>
        </is>
      </c>
    </row>
    <row r="13">
      <c r="A13" s="5">
        <v>3</v>
      </c>
      <c r="B13" s="4" t="inlineStr">
        <is>
          <t xml:space="preserve">Geografía Rural</t>
        </is>
      </c>
      <c r="C13" s="4" t="inlineStr">
        <is>
          <t xml:space="preserve">Socioespacial</t>
        </is>
      </c>
      <c r="D13" s="5">
        <v>12</v>
      </c>
      <c r="E13" s="6"/>
      <c r="F13" s="5">
        <f>IF($E13="Sí",$D13,0)</f>
        <v>0</v>
      </c>
      <c r="G13" s="13" t="str">
        <f>IF($E13="Sí","✓ Aprobada",IF('Mi avance'!$B$12&gt;=40,"Podés cursarla","Te faltan "&amp;(40-'Mi avance'!$B$12)&amp;" créditos"))</f>
        <v>Podés cursarla</v>
      </c>
      <c r="H13" s="4" t="inlineStr">
        <is>
          <t xml:space="preserve">40 créditos aprobados</t>
        </is>
      </c>
    </row>
    <row r="14">
      <c r="A14" s="5">
        <v>3</v>
      </c>
      <c r="B14" s="4" t="inlineStr">
        <is>
          <t xml:space="preserve">Geografía Urbana</t>
        </is>
      </c>
      <c r="C14" s="4" t="inlineStr">
        <is>
          <t xml:space="preserve">Socioespacial</t>
        </is>
      </c>
      <c r="D14" s="5">
        <v>12</v>
      </c>
      <c r="E14" s="6"/>
      <c r="F14" s="5">
        <f>IF($E14="Sí",$D14,0)</f>
        <v>0</v>
      </c>
      <c r="G14" s="13" t="str">
        <f>IF($E14="Sí","✓ Aprobada",IF('Mi avance'!$B$12&gt;=40,"Podés cursarla","Te faltan "&amp;(40-'Mi avance'!$B$12)&amp;" créditos"))</f>
        <v>Podés cursarla</v>
      </c>
      <c r="H14" s="4" t="inlineStr">
        <is>
          <t xml:space="preserve">40 créditos aprobados</t>
        </is>
      </c>
    </row>
    <row r="15">
      <c r="A15" s="5">
        <v>4</v>
      </c>
      <c r="B15" s="4" t="inlineStr">
        <is>
          <t xml:space="preserve">Biogeografía</t>
        </is>
      </c>
      <c r="C15" s="4" t="inlineStr">
        <is>
          <t xml:space="preserve">Sistemas Ambientales</t>
        </is>
      </c>
      <c r="D15" s="5">
        <v>10</v>
      </c>
      <c r="E15" s="6"/>
      <c r="F15" s="5">
        <f>IF($E15="Sí",$D15,0)</f>
        <v>0</v>
      </c>
      <c r="G15" s="13" t="str">
        <f>IF($E15="Sí","✓ Aprobada",IF('Mi avance'!$B$12&gt;=90,"Podés cursarla","Te faltan "&amp;(90-'Mi avance'!$B$12)&amp;" créditos"))</f>
        <v>Te faltan 10 créditos</v>
      </c>
      <c r="H15" s="4" t="inlineStr">
        <is>
          <t xml:space="preserve">90 créditos aprobados</t>
        </is>
      </c>
    </row>
    <row r="16">
      <c r="A16" s="5">
        <v>4</v>
      </c>
      <c r="B16" s="4" t="inlineStr">
        <is>
          <t xml:space="preserve">Evaluación de recursos naturales e impacto ambiental</t>
        </is>
      </c>
      <c r="C16" s="4" t="inlineStr">
        <is>
          <t xml:space="preserve">Sistemas Ambientales</t>
        </is>
      </c>
      <c r="D16" s="5">
        <v>12</v>
      </c>
      <c r="E16" s="6"/>
      <c r="F16" s="5">
        <f>IF($E16="Sí",$D16,0)</f>
        <v>0</v>
      </c>
      <c r="G16" s="13" t="str">
        <f>IF($E16="Sí","✓ Aprobada",IF(AND($E$10="Sí"),"Podés cursarla","Falta aprobar: Hidrogeografía"))</f>
        <v>Falta aprobar: Hidrogeografía</v>
      </c>
      <c r="H16" s="4" t="inlineStr">
        <is>
          <t xml:space="preserve">Aprobar Hidrogeografía</t>
        </is>
      </c>
    </row>
    <row r="17">
      <c r="A17" s="5">
        <v>4</v>
      </c>
      <c r="B17" s="4" t="inlineStr">
        <is>
          <t xml:space="preserve">Teledetección</t>
        </is>
      </c>
      <c r="C17" s="4" t="inlineStr">
        <is>
          <t xml:space="preserve">Tecnologías de la Información Geográfica</t>
        </is>
      </c>
      <c r="D17" s="5">
        <v>12</v>
      </c>
      <c r="E17" s="6"/>
      <c r="F17" s="5">
        <f>IF($E17="Sí",$D17,0)</f>
        <v>0</v>
      </c>
      <c r="G17" s="13" t="str">
        <f>IF($E17="Sí","✓ Aprobada",IF(AND($E$7="Sí"),"Podés cursarla","Falta aprobar: Cartografía"))</f>
        <v>Podés cursarla</v>
      </c>
      <c r="H17" s="4" t="inlineStr">
        <is>
          <t xml:space="preserve">Aprobar Cartografía</t>
        </is>
      </c>
    </row>
    <row r="18">
      <c r="A18" s="5">
        <v>5</v>
      </c>
      <c r="B18" s="4" t="inlineStr">
        <is>
          <t xml:space="preserve">Planificación territorial sostenible</t>
        </is>
      </c>
      <c r="C18" s="4" t="inlineStr">
        <is>
          <t xml:space="preserve">Teórico-Metodológico</t>
        </is>
      </c>
      <c r="D18" s="5">
        <v>12</v>
      </c>
      <c r="E18" s="6"/>
      <c r="F18" s="5">
        <f>IF($E18="Sí",$D18,0)</f>
        <v>0</v>
      </c>
      <c r="G18" s="13" t="str">
        <f>IF($E18="Sí","✓ Aprobada",IF('Mi avance'!$B$12&gt;=180,"Podés cursarla","Te faltan "&amp;(180-'Mi avance'!$B$12)&amp;" créditos"))</f>
        <v>Te faltan 100 créditos</v>
      </c>
      <c r="H18" s="4" t="inlineStr">
        <is>
          <t xml:space="preserve">180 créditos aprobados</t>
        </is>
      </c>
    </row>
    <row r="19">
      <c r="A19" s="5">
        <v>6</v>
      </c>
      <c r="B19" s="4" t="inlineStr">
        <is>
          <t xml:space="preserve">Geografía del Uruguay</t>
        </is>
      </c>
      <c r="C19" s="4" t="inlineStr">
        <is>
          <t xml:space="preserve">Socioespacial</t>
        </is>
      </c>
      <c r="D19" s="5">
        <v>12</v>
      </c>
      <c r="E19" s="6"/>
      <c r="F19" s="5">
        <f>IF($E19="Sí",$D19,0)</f>
        <v>0</v>
      </c>
      <c r="G19" s="13" t="str">
        <f>IF($E19="Sí","✓ Aprobada",IF('Mi avance'!$B$12&gt;=180,"Podés cursarla","Te faltan "&amp;(180-'Mi avance'!$B$12)&amp;" créditos"))</f>
        <v>Te faltan 100 créditos</v>
      </c>
      <c r="H19" s="4" t="inlineStr">
        <is>
          <t xml:space="preserve">180 créditos aprobados</t>
        </is>
      </c>
    </row>
    <row r="20">
      <c r="A20" s="5">
        <v>6</v>
      </c>
      <c r="B20" s="4" t="inlineStr">
        <is>
          <t xml:space="preserve">Análisis Espacial</t>
        </is>
      </c>
      <c r="C20" s="4" t="inlineStr">
        <is>
          <t xml:space="preserve">Teórico-Metodológico</t>
        </is>
      </c>
      <c r="D20" s="5">
        <v>12</v>
      </c>
      <c r="E20" s="6"/>
      <c r="F20" s="5">
        <f>IF($E20="Sí",$D20,0)</f>
        <v>0</v>
      </c>
      <c r="G20" s="13" t="str">
        <f>IF($E20="Sí","✓ Aprobada",IF('Mi avance'!$B$12&gt;=180,"Podés cursarla","Te faltan "&amp;(180-'Mi avance'!$B$12)&amp;" créditos"))</f>
        <v>Te faltan 100 créditos</v>
      </c>
      <c r="H20" s="4" t="inlineStr">
        <is>
          <t xml:space="preserve">180 créditos aprobados</t>
        </is>
      </c>
    </row>
    <row r="21">
      <c r="A21" s="5">
        <v>7</v>
      </c>
      <c r="B21" s="4" t="inlineStr">
        <is>
          <t xml:space="preserve">Metodología de la investigación geográfica</t>
        </is>
      </c>
      <c r="C21" s="4" t="inlineStr">
        <is>
          <t xml:space="preserve">Teórico-Metodológico</t>
        </is>
      </c>
      <c r="D21" s="5">
        <v>12</v>
      </c>
      <c r="E21" s="6"/>
      <c r="F21" s="5">
        <f>IF($E21="Sí",$D21,0)</f>
        <v>0</v>
      </c>
      <c r="G21" s="13" t="str">
        <f>IF($E21="Sí","✓ Aprobada",IF('Mi avance'!$B$12&gt;=100,"Podés cursarla","Te faltan "&amp;(100-'Mi avance'!$B$12)&amp;" créditos"))</f>
        <v>Te faltan 20 créditos</v>
      </c>
      <c r="H21" s="4" t="inlineStr">
        <is>
          <t xml:space="preserve">100 créditos aprobados</t>
        </is>
      </c>
    </row>
    <row r="22">
      <c r="A22" s="5">
        <v>7</v>
      </c>
      <c r="B22" s="4" t="inlineStr">
        <is>
          <t xml:space="preserve">Diseño de investigación geográfica</t>
        </is>
      </c>
      <c r="C22" s="4" t="inlineStr">
        <is>
          <t xml:space="preserve">Teórico-Metodológico</t>
        </is>
      </c>
      <c r="D22" s="5">
        <v>8</v>
      </c>
      <c r="E22" s="6"/>
      <c r="F22" s="5">
        <f>IF($E22="Sí",$D22,0)</f>
        <v>0</v>
      </c>
      <c r="G22" s="13" t="str">
        <f>IF($E22="Sí","✓ Aprobada",IF('Mi avance'!$B$12&gt;=200,"Podés cursarla","Te faltan "&amp;(200-'Mi avance'!$B$12)&amp;" créditos"))</f>
        <v>Te faltan 120 créditos</v>
      </c>
      <c r="H22" s="4" t="inlineStr">
        <is>
          <t xml:space="preserve">200 créditos aprobados</t>
        </is>
      </c>
    </row>
    <row r="23">
      <c r="A23" s="5">
        <v>8</v>
      </c>
      <c r="B23" s="4" t="inlineStr">
        <is>
          <t xml:space="preserve">Trabajo Final de Grado</t>
        </is>
      </c>
      <c r="C23" s="4" t="inlineStr">
        <is>
          <t xml:space="preserve">Teórico-Metodológico</t>
        </is>
      </c>
      <c r="D23" s="5">
        <v>40</v>
      </c>
      <c r="E23" s="6"/>
      <c r="F23" s="5">
        <f>IF($E23="Sí",$D23,0)</f>
        <v>0</v>
      </c>
      <c r="G23" s="13" t="str">
        <f>IF($E23="Sí","✓ Aprobada",IF(AND('Mi avance'!$B$12&gt;=220,'Mi avance'!$B$5&gt;='Mi avance'!$C$5,'Mi avance'!$B$6&gt;='Mi avance'!$C$6,'Mi avance'!$B$7&gt;='Mi avance'!$C$7,'Mi avance'!$B$8&gt;='Mi avance'!$C$8,'Mi avance'!$B$9&gt;='Mi avance'!$C$9),"Podés cursarla","Todavía no: revisá los mínimos en la hoja Mi avance"))</f>
        <v>Todavía no: revisá los mínimos en la hoja Mi avance</v>
      </c>
      <c r="H23" s="4" t="inlineStr">
        <is>
          <t xml:space="preserve">220 créditos y los mínimos de cada área</t>
        </is>
      </c>
    </row>
    <row r="25">
      <c r="A25" s="12" t="inlineStr">
        <is>
          <t xml:space="preserve">2. Otras unidades curriculares (sin semestre fijo, se pueden intercalar)</t>
        </is>
      </c>
    </row>
    <row r="26" ht="30" customHeight="1">
      <c r="A26" s="3" t="inlineStr">
        <is>
          <t xml:space="preserve">Semestre sugerido</t>
        </is>
      </c>
      <c r="B26" s="3" t="inlineStr">
        <is>
          <t xml:space="preserve">Unidad curricular</t>
        </is>
      </c>
      <c r="C26" s="3" t="inlineStr">
        <is>
          <t xml:space="preserve">Área</t>
        </is>
      </c>
      <c r="D26" s="3" t="inlineStr">
        <is>
          <t xml:space="preserve">Créditos</t>
        </is>
      </c>
      <c r="E26" s="3" t="inlineStr">
        <is>
          <t xml:space="preserve">¿Aprobada?</t>
        </is>
      </c>
      <c r="F26" s="3" t="inlineStr">
        <is>
          <t xml:space="preserve">Créditos obtenidos</t>
        </is>
      </c>
      <c r="G26" s="3" t="inlineStr">
        <is>
          <t xml:space="preserve">Dictada por</t>
        </is>
      </c>
      <c r="H26" s="3" t="inlineStr">
        <is>
          <t xml:space="preserve">Observaciones</t>
        </is>
      </c>
    </row>
    <row r="27">
      <c r="A27" s="5">
        <v>1</v>
      </c>
      <c r="B27" s="4" t="inlineStr">
        <is>
          <t xml:space="preserve">Alfabetización en Información 1</t>
        </is>
      </c>
      <c r="C27" s="4" t="inlineStr">
        <is>
          <t xml:space="preserve">Conocimientos Básicos y Generales</t>
        </is>
      </c>
      <c r="D27" s="5">
        <v>1</v>
      </c>
      <c r="E27" s="6"/>
      <c r="F27" s="5">
        <f>IF($E27="Sí",$D27,0)</f>
        <v>0</v>
      </c>
      <c r="G27" s="4" t="inlineStr">
        <is>
          <t xml:space="preserve">Centro de Documentación Científica y Biblioteca</t>
        </is>
      </c>
      <c r="H27" s="4"/>
    </row>
    <row r="28">
      <c r="A28" s="5">
        <v>1</v>
      </c>
      <c r="B28" s="4" t="inlineStr">
        <is>
          <t xml:space="preserve">Inglés I</t>
        </is>
      </c>
      <c r="C28" s="4" t="inlineStr">
        <is>
          <t xml:space="preserve">Conocimientos Básicos y Generales</t>
        </is>
      </c>
      <c r="D28" s="5">
        <v>5</v>
      </c>
      <c r="E28" s="6" t="inlineStr">
        <is>
          <t xml:space="preserve">Sí</t>
        </is>
      </c>
      <c r="F28" s="5">
        <f>IF($E28="Sí",$D28,0)</f>
        <v>5</v>
      </c>
      <c r="G28" s="4" t="inlineStr">
        <is>
          <t xml:space="preserve">Decanato</t>
        </is>
      </c>
      <c r="H28" s="4"/>
    </row>
    <row r="29">
      <c r="A29" s="5">
        <v>1</v>
      </c>
      <c r="B29" s="4" t="inlineStr">
        <is>
          <t xml:space="preserve">Matemática 1</t>
        </is>
      </c>
      <c r="C29" s="4" t="inlineStr">
        <is>
          <t xml:space="preserve">Conocimientos Básicos y Generales</t>
        </is>
      </c>
      <c r="D29" s="5">
        <v>12</v>
      </c>
      <c r="E29" s="6"/>
      <c r="F29" s="5">
        <f>IF($E29="Sí",$D29,0)</f>
        <v>0</v>
      </c>
      <c r="G29" s="4" t="inlineStr">
        <is>
          <t xml:space="preserve">Centro de Matemática</t>
        </is>
      </c>
      <c r="H29" s="4"/>
    </row>
    <row r="30">
      <c r="A30" s="5">
        <v>2</v>
      </c>
      <c r="B30" s="4" t="inlineStr">
        <is>
          <t xml:space="preserve">Alfabetización en Información II</t>
        </is>
      </c>
      <c r="C30" s="4" t="inlineStr">
        <is>
          <t xml:space="preserve">Conocimientos Básicos y Generales</t>
        </is>
      </c>
      <c r="D30" s="5">
        <v>1</v>
      </c>
      <c r="E30" s="6"/>
      <c r="F30" s="5">
        <f>IF($E30="Sí",$D30,0)</f>
        <v>0</v>
      </c>
      <c r="G30" s="4" t="inlineStr">
        <is>
          <t xml:space="preserve">Centro de Documentación Científica y Biblioteca</t>
        </is>
      </c>
      <c r="H30" s="4"/>
    </row>
    <row r="31">
      <c r="A31" s="5">
        <v>2</v>
      </c>
      <c r="B31" s="4" t="inlineStr">
        <is>
          <t xml:space="preserve">Inglés II</t>
        </is>
      </c>
      <c r="C31" s="4" t="inlineStr">
        <is>
          <t xml:space="preserve">Conocimientos Básicos y Generales</t>
        </is>
      </c>
      <c r="D31" s="5">
        <v>5</v>
      </c>
      <c r="E31" s="6"/>
      <c r="F31" s="5">
        <f>IF($E31="Sí",$D31,0)</f>
        <v>0</v>
      </c>
      <c r="G31" s="4" t="inlineStr">
        <is>
          <t xml:space="preserve">Decanato</t>
        </is>
      </c>
      <c r="H31" s="4"/>
    </row>
    <row r="32">
      <c r="A32" s="5">
        <v>3</v>
      </c>
      <c r="B32" s="4" t="inlineStr">
        <is>
          <t xml:space="preserve">Geografía Económica (Complemento para egresados de Formación Docente)</t>
        </is>
      </c>
      <c r="C32" s="4" t="inlineStr">
        <is>
          <t xml:space="preserve">Socioespacial</t>
        </is>
      </c>
      <c r="D32" s="5">
        <v>4</v>
      </c>
      <c r="E32" s="6"/>
      <c r="F32" s="5">
        <f>IF($E32="Sí",$D32,0)</f>
        <v>0</v>
      </c>
      <c r="G32" s="4" t="inlineStr">
        <is>
          <t xml:space="preserve">Departamento de Geografía</t>
        </is>
      </c>
      <c r="H32" s="4"/>
    </row>
    <row r="33">
      <c r="A33" s="5"/>
      <c r="B33" s="4" t="inlineStr">
        <is>
          <t xml:space="preserve">Agua y Salud</t>
        </is>
      </c>
      <c r="C33" s="4" t="inlineStr">
        <is>
          <t xml:space="preserve">Sistemas Ambientales</t>
        </is>
      </c>
      <c r="D33" s="5">
        <v>10</v>
      </c>
      <c r="E33" s="6" t="inlineStr">
        <is>
          <t xml:space="preserve">Sí</t>
        </is>
      </c>
      <c r="F33" s="5">
        <f>IF($E33="Sí",$D33,0)</f>
        <v>10</v>
      </c>
      <c r="G33" s="4" t="inlineStr">
        <is>
          <t xml:space="preserve">Instituto de Ecología y Ciencias Ambientales</t>
        </is>
      </c>
      <c r="H33" s="4"/>
    </row>
    <row r="34">
      <c r="A34" s="5"/>
      <c r="B34" s="4" t="inlineStr">
        <is>
          <t xml:space="preserve">Análisis de Datos para Ciencias</t>
        </is>
      </c>
      <c r="C34" s="4" t="inlineStr">
        <is>
          <t xml:space="preserve">Conocimientos Básicos y Generales</t>
        </is>
      </c>
      <c r="D34" s="5">
        <v>12</v>
      </c>
      <c r="E34" s="6"/>
      <c r="F34" s="5">
        <f>IF($E34="Sí",$D34,0)</f>
        <v>0</v>
      </c>
      <c r="G34" s="4" t="inlineStr">
        <is>
          <t xml:space="preserve">Centro de Matemática</t>
        </is>
      </c>
      <c r="H34" s="4"/>
    </row>
    <row r="35">
      <c r="A35" s="5"/>
      <c r="B35" s="4" t="inlineStr">
        <is>
          <t xml:space="preserve">Cianobacterias y Eutrofización</t>
        </is>
      </c>
      <c r="C35" s="4" t="inlineStr">
        <is>
          <t xml:space="preserve">Extensión u optativas</t>
        </is>
      </c>
      <c r="D35" s="5">
        <v>7</v>
      </c>
      <c r="E35" s="6"/>
      <c r="F35" s="5">
        <f>IF($E35="Sí",$D35,0)</f>
        <v>0</v>
      </c>
      <c r="G35" s="4" t="inlineStr">
        <is>
          <t xml:space="preserve">Instituto de Ecología y Ciencias Ambientales</t>
        </is>
      </c>
      <c r="H35" s="4" t="inlineStr">
        <is>
          <t xml:space="preserve">Suma al total, no a un área mínima</t>
        </is>
      </c>
    </row>
    <row r="36">
      <c r="A36" s="5"/>
      <c r="B36" s="4" t="inlineStr">
        <is>
          <t xml:space="preserve">Ciencia del suelo</t>
        </is>
      </c>
      <c r="C36" s="4" t="inlineStr">
        <is>
          <t xml:space="preserve">Sistemas Ambientales</t>
        </is>
      </c>
      <c r="D36" s="5">
        <v>12</v>
      </c>
      <c r="E36" s="6"/>
      <c r="F36" s="5">
        <f>IF($E36="Sí",$D36,0)</f>
        <v>0</v>
      </c>
      <c r="G36" s="4" t="inlineStr">
        <is>
          <t xml:space="preserve">UNCIEP / Instituto de Ecología y Ciencias Ambientales</t>
        </is>
      </c>
      <c r="H36" s="4"/>
    </row>
    <row r="37">
      <c r="A37" s="5"/>
      <c r="B37" s="4" t="inlineStr">
        <is>
          <t xml:space="preserve">Climatología para Biogeociencias</t>
        </is>
      </c>
      <c r="C37" s="4" t="inlineStr">
        <is>
          <t xml:space="preserve">Conocimientos Básicos y Generales</t>
        </is>
      </c>
      <c r="D37" s="5">
        <v>12</v>
      </c>
      <c r="E37" s="6"/>
      <c r="F37" s="5">
        <f>IF($E37="Sí",$D37,0)</f>
        <v>0</v>
      </c>
      <c r="G37" s="4" t="inlineStr">
        <is>
          <t xml:space="preserve">Instituto de Física</t>
        </is>
      </c>
      <c r="H37" s="4"/>
    </row>
    <row r="38">
      <c r="A38" s="5"/>
      <c r="B38" s="4" t="inlineStr">
        <is>
          <t xml:space="preserve">Ecosistemas costero-marinos</t>
        </is>
      </c>
      <c r="C38" s="4" t="inlineStr">
        <is>
          <t xml:space="preserve">Sistemas Ambientales</t>
        </is>
      </c>
      <c r="D38" s="5">
        <v>6</v>
      </c>
      <c r="E38" s="6"/>
      <c r="F38" s="5">
        <f>IF($E38="Sí",$D38,0)</f>
        <v>0</v>
      </c>
      <c r="G38" s="4" t="inlineStr">
        <is>
          <t xml:space="preserve">Instituto de Ecología y Ciencias Ambientales</t>
        </is>
      </c>
      <c r="H38" s="4"/>
    </row>
    <row r="39">
      <c r="A39" s="5"/>
      <c r="B39" s="4" t="inlineStr">
        <is>
          <t xml:space="preserve">EFI - Ecoparque Idea Vilariño: memoria, territorio y comunidad</t>
        </is>
      </c>
      <c r="C39" s="4" t="inlineStr">
        <is>
          <t xml:space="preserve">Extensión u optativas</t>
        </is>
      </c>
      <c r="D39" s="5">
        <v>11</v>
      </c>
      <c r="E39" s="6"/>
      <c r="F39" s="5">
        <f>IF($E39="Sí",$D39,0)</f>
        <v>0</v>
      </c>
      <c r="G39" s="4" t="inlineStr">
        <is>
          <t xml:space="preserve">Unidad de Extensión</t>
        </is>
      </c>
      <c r="H39" s="4" t="inlineStr">
        <is>
          <t xml:space="preserve">Suma al total, no a un área mínima</t>
        </is>
      </c>
    </row>
    <row r="40">
      <c r="A40" s="5"/>
      <c r="B40" s="4" t="inlineStr">
        <is>
          <t xml:space="preserve">EFI - Monitoreo participativo del río Santa Lucía</t>
        </is>
      </c>
      <c r="C40" s="4" t="inlineStr">
        <is>
          <t xml:space="preserve">Extensión u optativas</t>
        </is>
      </c>
      <c r="D40" s="5">
        <v>11</v>
      </c>
      <c r="E40" s="6"/>
      <c r="F40" s="5">
        <f>IF($E40="Sí",$D40,0)</f>
        <v>0</v>
      </c>
      <c r="G40" s="4" t="inlineStr">
        <is>
          <t xml:space="preserve">Unidad de Extensión</t>
        </is>
      </c>
      <c r="H40" s="4" t="inlineStr">
        <is>
          <t xml:space="preserve">Suma al total, no a un área mínima</t>
        </is>
      </c>
    </row>
    <row r="41">
      <c r="A41" s="5"/>
      <c r="B41" s="4" t="inlineStr">
        <is>
          <t xml:space="preserve">EFI Ciencia en Territorio: un laboratorio de saberes compartidos</t>
        </is>
      </c>
      <c r="C41" s="4" t="inlineStr">
        <is>
          <t xml:space="preserve">Extensión u optativas</t>
        </is>
      </c>
      <c r="D41" s="5">
        <v>6</v>
      </c>
      <c r="E41" s="6"/>
      <c r="F41" s="5">
        <f>IF($E41="Sí",$D41,0)</f>
        <v>0</v>
      </c>
      <c r="G41" s="4" t="inlineStr">
        <is>
          <t xml:space="preserve">Unidad de Extensión e Instituto de Biología</t>
        </is>
      </c>
      <c r="H41" s="4" t="inlineStr">
        <is>
          <t xml:space="preserve">Suma al total, no a un área mínima</t>
        </is>
      </c>
    </row>
    <row r="42">
      <c r="A42" s="5"/>
      <c r="B42" s="4" t="inlineStr">
        <is>
          <t xml:space="preserve">EFI Memorias y justicia ambiental: un abordaje transdisciplinario</t>
        </is>
      </c>
      <c r="C42" s="4" t="inlineStr">
        <is>
          <t xml:space="preserve">Extensión u optativas</t>
        </is>
      </c>
      <c r="D42" s="5">
        <v>10</v>
      </c>
      <c r="E42" s="6"/>
      <c r="F42" s="5">
        <f>IF($E42="Sí",$D42,0)</f>
        <v>0</v>
      </c>
      <c r="G42" s="4" t="inlineStr">
        <is>
          <t xml:space="preserve">Unidad de Extensión y Núcleo Interdisciplinario</t>
        </is>
      </c>
      <c r="H42" s="4" t="inlineStr">
        <is>
          <t xml:space="preserve">Suma al total, no a un área mínima</t>
        </is>
      </c>
    </row>
    <row r="43">
      <c r="A43" s="5"/>
      <c r="B43" s="4" t="inlineStr">
        <is>
          <t xml:space="preserve">EFI Soberanía Alimentaria en los Barrios</t>
        </is>
      </c>
      <c r="C43" s="4" t="inlineStr">
        <is>
          <t xml:space="preserve">Extensión u optativas</t>
        </is>
      </c>
      <c r="D43" s="5">
        <v>10</v>
      </c>
      <c r="E43" s="6"/>
      <c r="F43" s="5">
        <f>IF($E43="Sí",$D43,0)</f>
        <v>0</v>
      </c>
      <c r="G43" s="4" t="inlineStr">
        <is>
          <t xml:space="preserve">Departamento de Geografía</t>
        </is>
      </c>
      <c r="H43" s="4" t="inlineStr">
        <is>
          <t xml:space="preserve">Suma al total, no a un área mínima</t>
        </is>
      </c>
    </row>
    <row r="44">
      <c r="A44" s="5"/>
      <c r="B44" s="4" t="inlineStr">
        <is>
          <t xml:space="preserve">EFI: Clubes de Ciencia como estrategia de enseñanza</t>
        </is>
      </c>
      <c r="C44" s="4" t="inlineStr">
        <is>
          <t xml:space="preserve">Extensión u optativas</t>
        </is>
      </c>
      <c r="D44" s="5">
        <v>7</v>
      </c>
      <c r="E44" s="6" t="inlineStr">
        <is>
          <t xml:space="preserve">Sí</t>
        </is>
      </c>
      <c r="F44" s="5">
        <f>IF($E44="Sí",$D44,0)</f>
        <v>7</v>
      </c>
      <c r="G44" s="4" t="inlineStr">
        <is>
          <t xml:space="preserve">Unidad de Extensión</t>
        </is>
      </c>
      <c r="H44" s="4" t="inlineStr">
        <is>
          <t xml:space="preserve">Suma al total, no a un área mínima</t>
        </is>
      </c>
    </row>
    <row r="45">
      <c r="A45" s="5"/>
      <c r="B45" s="4" t="inlineStr">
        <is>
          <t xml:space="preserve">EFI: PAPUA – Programa de Acercamiento Pedagógico Uruguay–Antártida</t>
        </is>
      </c>
      <c r="C45" s="4" t="inlineStr">
        <is>
          <t xml:space="preserve">Extensión u optativas</t>
        </is>
      </c>
      <c r="D45" s="5">
        <v>11</v>
      </c>
      <c r="E45" s="6"/>
      <c r="F45" s="5">
        <f>IF($E45="Sí",$D45,0)</f>
        <v>0</v>
      </c>
      <c r="G45" s="4" t="inlineStr">
        <is>
          <t xml:space="preserve">Instituto de Biología</t>
        </is>
      </c>
      <c r="H45" s="4" t="inlineStr">
        <is>
          <t xml:space="preserve">Suma al total, no a un área mínima</t>
        </is>
      </c>
    </row>
    <row r="46">
      <c r="A46" s="5"/>
      <c r="B46" s="4" t="inlineStr">
        <is>
          <t xml:space="preserve">Estadística para Ciencias</t>
        </is>
      </c>
      <c r="C46" s="4" t="inlineStr">
        <is>
          <t xml:space="preserve">Conocimientos Básicos y Generales</t>
        </is>
      </c>
      <c r="D46" s="5">
        <v>12</v>
      </c>
      <c r="E46" s="6"/>
      <c r="F46" s="5">
        <f>IF($E46="Sí",$D46,0)</f>
        <v>0</v>
      </c>
      <c r="G46" s="4" t="inlineStr">
        <is>
          <t xml:space="preserve">Centro de Matemática</t>
        </is>
      </c>
      <c r="H46" s="4"/>
    </row>
    <row r="47">
      <c r="A47" s="5"/>
      <c r="B47" s="4" t="inlineStr">
        <is>
          <t xml:space="preserve">Fototrampeo aplicado al monitoreo de la Biodiversidad</t>
        </is>
      </c>
      <c r="C47" s="4" t="inlineStr">
        <is>
          <t xml:space="preserve">Sistemas Ambientales</t>
        </is>
      </c>
      <c r="D47" s="5">
        <v>6</v>
      </c>
      <c r="E47" s="6"/>
      <c r="F47" s="5">
        <f>IF($E47="Sí",$D47,0)</f>
        <v>0</v>
      </c>
      <c r="G47" s="4" t="inlineStr">
        <is>
          <t xml:space="preserve">Instituto de Ecología y Ciencias Ambientales</t>
        </is>
      </c>
      <c r="H47" s="4"/>
    </row>
    <row r="48">
      <c r="A48" s="5"/>
      <c r="B48" s="4" t="inlineStr">
        <is>
          <t xml:space="preserve">Geología General I</t>
        </is>
      </c>
      <c r="C48" s="4" t="inlineStr">
        <is>
          <t xml:space="preserve">Conocimientos Básicos y Generales</t>
        </is>
      </c>
      <c r="D48" s="5">
        <v>12</v>
      </c>
      <c r="E48" s="6"/>
      <c r="F48" s="5">
        <f>IF($E48="Sí",$D48,0)</f>
        <v>0</v>
      </c>
      <c r="G48" s="4" t="inlineStr">
        <is>
          <t xml:space="preserve">Instituto de Ciencias Geológicas</t>
        </is>
      </c>
      <c r="H48" s="4"/>
    </row>
    <row r="49">
      <c r="A49" s="5"/>
      <c r="B49" s="4" t="inlineStr">
        <is>
          <t xml:space="preserve">Introducción a la Meteorología</t>
        </is>
      </c>
      <c r="C49" s="4" t="inlineStr">
        <is>
          <t xml:space="preserve">Conocimientos Básicos y Generales</t>
        </is>
      </c>
      <c r="D49" s="5">
        <v>12</v>
      </c>
      <c r="E49" s="6"/>
      <c r="F49" s="5">
        <f>IF($E49="Sí",$D49,0)</f>
        <v>0</v>
      </c>
      <c r="G49" s="4" t="inlineStr">
        <is>
          <t xml:space="preserve">Instituto de Física</t>
        </is>
      </c>
      <c r="H49" s="4"/>
    </row>
    <row r="50">
      <c r="A50" s="5"/>
      <c r="B50" s="4" t="inlineStr">
        <is>
          <t xml:space="preserve">Matemática 2, módulo 1</t>
        </is>
      </c>
      <c r="C50" s="4" t="inlineStr">
        <is>
          <t xml:space="preserve">Conocimientos Básicos y Generales</t>
        </is>
      </c>
      <c r="D50" s="5">
        <v>6</v>
      </c>
      <c r="E50" s="6"/>
      <c r="F50" s="5">
        <f>IF($E50="Sí",$D50,0)</f>
        <v>0</v>
      </c>
      <c r="G50" s="4" t="inlineStr">
        <is>
          <t xml:space="preserve">Centro de Matemática</t>
        </is>
      </c>
      <c r="H50" s="4"/>
    </row>
    <row r="51">
      <c r="A51" s="5"/>
      <c r="B51" s="4" t="inlineStr">
        <is>
          <t xml:space="preserve">Matemática 2, módulo 2</t>
        </is>
      </c>
      <c r="C51" s="4" t="inlineStr">
        <is>
          <t xml:space="preserve">Conocimientos Básicos y Generales</t>
        </is>
      </c>
      <c r="D51" s="5">
        <v>6</v>
      </c>
      <c r="E51" s="6"/>
      <c r="F51" s="5">
        <f>IF($E51="Sí",$D51,0)</f>
        <v>0</v>
      </c>
      <c r="G51" s="4" t="inlineStr">
        <is>
          <t xml:space="preserve">Centro de Matemática</t>
        </is>
      </c>
      <c r="H51" s="4"/>
    </row>
    <row r="52">
      <c r="A52" s="5"/>
      <c r="B52" s="4" t="inlineStr">
        <is>
          <t xml:space="preserve">Pensamiento Crítico y Metodología Científica</t>
        </is>
      </c>
      <c r="C52" s="4" t="inlineStr">
        <is>
          <t xml:space="preserve">Conocimientos Básicos y Generales</t>
        </is>
      </c>
      <c r="D52" s="5">
        <v>8</v>
      </c>
      <c r="E52" s="6"/>
      <c r="F52" s="5">
        <f>IF($E52="Sí",$D52,0)</f>
        <v>0</v>
      </c>
      <c r="G52" s="4" t="inlineStr">
        <is>
          <t xml:space="preserve">Instituto de Física</t>
        </is>
      </c>
      <c r="H52" s="4"/>
    </row>
    <row r="53">
      <c r="A53" s="5"/>
      <c r="B53" s="4" t="inlineStr">
        <is>
          <t xml:space="preserve">Química I / Química General</t>
        </is>
      </c>
      <c r="C53" s="4" t="inlineStr">
        <is>
          <t xml:space="preserve">Conocimientos Básicos y Generales</t>
        </is>
      </c>
      <c r="D53" s="5">
        <v>10</v>
      </c>
      <c r="E53" s="6"/>
      <c r="F53" s="5">
        <f>IF($E53="Sí",$D53,0)</f>
        <v>0</v>
      </c>
      <c r="G53" s="4" t="inlineStr">
        <is>
          <t xml:space="preserve">Centro de Investigaciones Nucleares</t>
        </is>
      </c>
      <c r="H53" s="4"/>
    </row>
    <row r="54">
      <c r="A54" s="5"/>
      <c r="B54" s="4" t="inlineStr">
        <is>
          <t xml:space="preserve">Química Nuclear</t>
        </is>
      </c>
      <c r="C54" s="4" t="inlineStr">
        <is>
          <t xml:space="preserve">Extensión u optativas</t>
        </is>
      </c>
      <c r="D54" s="5">
        <v>6</v>
      </c>
      <c r="E54" s="6"/>
      <c r="F54" s="5">
        <f>IF($E54="Sí",$D54,0)</f>
        <v>0</v>
      </c>
      <c r="G54" s="4" t="inlineStr">
        <is>
          <t xml:space="preserve">Centro de Investigaciones Nucleares</t>
        </is>
      </c>
      <c r="H54" s="4" t="inlineStr">
        <is>
          <t xml:space="preserve">Suma al total, no a un área mínima</t>
        </is>
      </c>
    </row>
    <row r="55">
      <c r="A55" s="5"/>
      <c r="B55" s="4" t="inlineStr">
        <is>
          <t xml:space="preserve">Taller de Geografía Política 1</t>
        </is>
      </c>
      <c r="C55" s="4" t="inlineStr">
        <is>
          <t xml:space="preserve">Conocimientos Básicos y Generales</t>
        </is>
      </c>
      <c r="D55" s="5">
        <v>8</v>
      </c>
      <c r="E55" s="6"/>
      <c r="F55" s="5">
        <f>IF($E55="Sí",$D55,0)</f>
        <v>0</v>
      </c>
      <c r="G55" s="4" t="inlineStr">
        <is>
          <t xml:space="preserve">Departamento de Geografía</t>
        </is>
      </c>
      <c r="H55" s="4"/>
    </row>
    <row r="56">
      <c r="A56" s="5"/>
      <c r="B56" s="4" t="inlineStr">
        <is>
          <t xml:space="preserve">Un recorrido histórico de la Escuela matemática uruguaya</t>
        </is>
      </c>
      <c r="C56" s="4" t="inlineStr">
        <is>
          <t xml:space="preserve">Extensión u optativas</t>
        </is>
      </c>
      <c r="D56" s="5">
        <v>8</v>
      </c>
      <c r="E56" s="6"/>
      <c r="F56" s="5">
        <f>IF($E56="Sí",$D56,0)</f>
        <v>0</v>
      </c>
      <c r="G56" s="4" t="inlineStr">
        <is>
          <t xml:space="preserve">Centro de Matemática</t>
        </is>
      </c>
      <c r="H56" s="4" t="inlineStr">
        <is>
          <t xml:space="preserve">Suma al total, no a un área mínima</t>
        </is>
      </c>
    </row>
    <row r="57">
      <c r="A57" s="5"/>
      <c r="B57" s="4" t="inlineStr">
        <is>
          <t xml:space="preserve">Universidad y sociedad</t>
        </is>
      </c>
      <c r="C57" s="4" t="inlineStr">
        <is>
          <t xml:space="preserve">Conocimientos Básicos y Generales</t>
        </is>
      </c>
      <c r="D57" s="5">
        <v>10</v>
      </c>
      <c r="E57" s="6"/>
      <c r="F57" s="5">
        <f>IF($E57="Sí",$D57,0)</f>
        <v>0</v>
      </c>
      <c r="G57" s="4" t="inlineStr">
        <is>
          <t xml:space="preserve">Unidad de Ciencia y Desarrollo</t>
        </is>
      </c>
      <c r="H57" s="4"/>
    </row>
    <row r="59">
      <c r="A59" s="12" t="inlineStr">
        <is>
          <t xml:space="preserve">3. Otras unidades curriculares que cursaste (que no están en la lista)</t>
        </is>
      </c>
    </row>
    <row r="60">
      <c r="A60" s="2" t="inlineStr">
        <is>
          <t xml:space="preserve">Escribí el nombre, elegí el área y poné los créditos. Se suman solas al total y a su área.</t>
        </is>
      </c>
    </row>
    <row r="61">
      <c r="A61" s="3"/>
      <c r="B61" s="3" t="inlineStr">
        <is>
          <t xml:space="preserve">Unidad curricular</t>
        </is>
      </c>
      <c r="C61" s="3" t="inlineStr">
        <is>
          <t xml:space="preserve">Área</t>
        </is>
      </c>
      <c r="D61" s="3" t="inlineStr">
        <is>
          <t xml:space="preserve">Créditos</t>
        </is>
      </c>
      <c r="E61" s="3"/>
      <c r="F61" s="3" t="inlineStr">
        <is>
          <t xml:space="preserve">Créditos obtenidos</t>
        </is>
      </c>
      <c r="G61" s="3"/>
      <c r="H61" s="3"/>
    </row>
    <row r="62">
      <c r="A62" s="15"/>
      <c r="B62" s="7" t="inlineStr">
        <is>
          <t xml:space="preserve">Química</t>
        </is>
      </c>
      <c r="C62" s="7" t="inlineStr">
        <is>
          <t xml:space="preserve">Conocimientos Básicos y Generales</t>
        </is>
      </c>
      <c r="D62" s="6">
        <v>10</v>
      </c>
      <c r="E62" s="15"/>
      <c r="F62" s="5">
        <f>IF(ISNUMBER($D62),$D62,0)</f>
        <v>10</v>
      </c>
      <c r="G62" s="15"/>
      <c r="H62" s="15"/>
    </row>
    <row r="63">
      <c r="A63" s="15"/>
      <c r="B63" s="7"/>
      <c r="C63" s="7" t="inlineStr">
        <is>
          <t xml:space="preserve">Conocimientos Básicos y Generales</t>
        </is>
      </c>
      <c r="D63" s="6"/>
      <c r="E63" s="15"/>
      <c r="F63" s="5">
        <f>IF(ISNUMBER($D63),$D63,0)</f>
        <v>0</v>
      </c>
      <c r="G63" s="15"/>
      <c r="H63" s="15"/>
    </row>
    <row r="64">
      <c r="A64" s="15"/>
      <c r="B64" s="7"/>
      <c r="C64" s="7" t="inlineStr">
        <is>
          <t xml:space="preserve">Conocimientos Básicos y Generales</t>
        </is>
      </c>
      <c r="D64" s="6"/>
      <c r="E64" s="15"/>
      <c r="F64" s="5">
        <f>IF(ISNUMBER($D64),$D64,0)</f>
        <v>0</v>
      </c>
      <c r="G64" s="15"/>
      <c r="H64" s="15"/>
    </row>
    <row r="65">
      <c r="A65" s="15"/>
      <c r="B65" s="7"/>
      <c r="C65" s="7" t="inlineStr">
        <is>
          <t xml:space="preserve">Conocimientos Básicos y Generales</t>
        </is>
      </c>
      <c r="D65" s="6"/>
      <c r="E65" s="15"/>
      <c r="F65" s="5">
        <f>IF(ISNUMBER($D65),$D65,0)</f>
        <v>0</v>
      </c>
      <c r="G65" s="15"/>
      <c r="H65" s="15"/>
    </row>
    <row r="66">
      <c r="A66" s="15"/>
      <c r="B66" s="7"/>
      <c r="C66" s="7" t="inlineStr">
        <is>
          <t xml:space="preserve">Conocimientos Básicos y Generales</t>
        </is>
      </c>
      <c r="D66" s="6"/>
      <c r="E66" s="15"/>
      <c r="F66" s="5">
        <f>IF(ISNUMBER($D66),$D66,0)</f>
        <v>0</v>
      </c>
      <c r="G66" s="15"/>
      <c r="H66" s="15"/>
    </row>
    <row r="67">
      <c r="A67" s="15"/>
      <c r="B67" s="7"/>
      <c r="C67" s="7" t="inlineStr">
        <is>
          <t xml:space="preserve">Conocimientos Básicos y Generales</t>
        </is>
      </c>
      <c r="D67" s="6"/>
      <c r="E67" s="15"/>
      <c r="F67" s="5">
        <f>IF(ISNUMBER($D67),$D67,0)</f>
        <v>0</v>
      </c>
      <c r="G67" s="15"/>
      <c r="H67" s="15"/>
    </row>
    <row r="68">
      <c r="A68" s="15"/>
      <c r="B68" s="7"/>
      <c r="C68" s="7" t="inlineStr">
        <is>
          <t xml:space="preserve">Conocimientos Básicos y Generales</t>
        </is>
      </c>
      <c r="D68" s="6"/>
      <c r="E68" s="15"/>
      <c r="F68" s="5">
        <f>IF(ISNUMBER($D68),$D68,0)</f>
        <v>0</v>
      </c>
      <c r="G68" s="15"/>
      <c r="H68" s="15"/>
    </row>
    <row r="69">
      <c r="A69" s="15"/>
      <c r="B69" s="7"/>
      <c r="C69" s="7" t="inlineStr">
        <is>
          <t xml:space="preserve">Conocimientos Básicos y Generales</t>
        </is>
      </c>
      <c r="D69" s="6"/>
      <c r="E69" s="15"/>
      <c r="F69" s="5">
        <f>IF(ISNUMBER($D69),$D69,0)</f>
        <v>0</v>
      </c>
      <c r="G69" s="15"/>
      <c r="H69" s="15"/>
    </row>
    <row r="70">
      <c r="A70" s="15"/>
      <c r="B70" s="7"/>
      <c r="C70" s="7" t="inlineStr">
        <is>
          <t xml:space="preserve">Conocimientos Básicos y Generales</t>
        </is>
      </c>
      <c r="D70" s="6"/>
      <c r="E70" s="15"/>
      <c r="F70" s="5">
        <f>IF(ISNUMBER($D70),$D70,0)</f>
        <v>0</v>
      </c>
      <c r="G70" s="15"/>
      <c r="H70" s="15"/>
    </row>
    <row r="71">
      <c r="A71" s="15"/>
      <c r="B71" s="7"/>
      <c r="C71" s="7" t="inlineStr">
        <is>
          <t xml:space="preserve">Conocimientos Básicos y Generales</t>
        </is>
      </c>
      <c r="D71" s="6"/>
      <c r="E71" s="15"/>
      <c r="F71" s="5">
        <f>IF(ISNUMBER($D71),$D71,0)</f>
        <v>0</v>
      </c>
      <c r="G71" s="15"/>
      <c r="H71" s="15"/>
    </row>
    <row r="72">
      <c r="A72" s="15"/>
      <c r="B72" s="7"/>
      <c r="C72" s="7" t="inlineStr">
        <is>
          <t xml:space="preserve">Conocimientos Básicos y Generales</t>
        </is>
      </c>
      <c r="D72" s="6"/>
      <c r="E72" s="15"/>
      <c r="F72" s="5">
        <f>IF(ISNUMBER($D72),$D72,0)</f>
        <v>0</v>
      </c>
      <c r="G72" s="15"/>
      <c r="H72" s="15"/>
    </row>
    <row r="73">
      <c r="A73" s="15"/>
      <c r="B73" s="7"/>
      <c r="C73" s="7" t="inlineStr">
        <is>
          <t xml:space="preserve">Conocimientos Básicos y Generales</t>
        </is>
      </c>
      <c r="D73" s="6"/>
      <c r="E73" s="15"/>
      <c r="F73" s="5">
        <f>IF(ISNUMBER($D73),$D73,0)</f>
        <v>0</v>
      </c>
      <c r="G73" s="15"/>
      <c r="H73" s="15"/>
    </row>
    <row r="74">
      <c r="A74" s="15"/>
      <c r="B74" s="7"/>
      <c r="C74" s="7" t="inlineStr">
        <is>
          <t xml:space="preserve">Conocimientos Básicos y Generales</t>
        </is>
      </c>
      <c r="D74" s="6"/>
      <c r="E74" s="15"/>
      <c r="F74" s="5">
        <f>IF(ISNUMBER($D74),$D74,0)</f>
        <v>0</v>
      </c>
      <c r="G74" s="15"/>
      <c r="H74" s="15"/>
    </row>
    <row r="75">
      <c r="A75" s="15"/>
      <c r="B75" s="7"/>
      <c r="C75" s="7" t="inlineStr">
        <is>
          <t xml:space="preserve">Conocimientos Básicos y Generales</t>
        </is>
      </c>
      <c r="D75" s="6"/>
      <c r="E75" s="15"/>
      <c r="F75" s="5">
        <f>IF(ISNUMBER($D75),$D75,0)</f>
        <v>0</v>
      </c>
      <c r="G75" s="15"/>
      <c r="H75" s="15"/>
    </row>
    <row r="76">
      <c r="A76" s="15"/>
      <c r="B76" s="7"/>
      <c r="C76" s="7" t="inlineStr">
        <is>
          <t xml:space="preserve">Conocimientos Básicos y Generales</t>
        </is>
      </c>
      <c r="D76" s="6"/>
      <c r="E76" s="15"/>
      <c r="F76" s="5">
        <f>IF(ISNUMBER($D76),$D76,0)</f>
        <v>0</v>
      </c>
      <c r="G76" s="15"/>
      <c r="H76" s="15"/>
    </row>
    <row r="77">
      <c r="A77" s="15"/>
      <c r="B77" s="7"/>
      <c r="C77" s="7" t="inlineStr">
        <is>
          <t xml:space="preserve">Conocimientos Básicos y Generales</t>
        </is>
      </c>
      <c r="D77" s="6"/>
      <c r="E77" s="15"/>
      <c r="F77" s="5">
        <f>IF(ISNUMBER($D77),$D77,0)</f>
        <v>0</v>
      </c>
      <c r="G77" s="15"/>
      <c r="H77" s="15"/>
    </row>
  </sheetData>
  <mergeCells count="3">
    <mergeCell ref="A1:H1"/>
    <mergeCell ref="A2:H2"/>
    <mergeCell ref="A60:H60"/>
  </mergeCells>
  <conditionalFormatting sqref="E6:E23 E27:E57">
    <cfRule type="expression" dxfId="0" priority="1">
      <formula>$E6="Sí"</formula>
    </cfRule>
  </conditionalFormatting>
  <conditionalFormatting sqref="G6:G23">
    <cfRule type="expression" dxfId="1" priority="2">
      <formula>LEFT($G6,1)="✓"</formula>
    </cfRule>
    <cfRule type="expression" dxfId="0" priority="3">
      <formula>LEFT($G6,5)="Podés"</formula>
    </cfRule>
  </conditionalFormatting>
  <conditionalFormatting sqref="C6:C77">
    <cfRule type="expression" dxfId="2" priority="4">
      <formula>$C6="Teórico-Metodológico"</formula>
    </cfRule>
    <cfRule type="expression" dxfId="3" priority="5">
      <formula>$C6="Socioespacial"</formula>
    </cfRule>
    <cfRule type="expression" dxfId="4" priority="6">
      <formula>$C6="Sistemas Ambientales"</formula>
    </cfRule>
    <cfRule type="expression" dxfId="5" priority="7">
      <formula>$C6="Tecnologías de la Información Geográfica"</formula>
    </cfRule>
    <cfRule type="expression" dxfId="6" priority="8">
      <formula>$C6="Conocimientos Básicos y Generales"</formula>
    </cfRule>
    <cfRule type="expression" dxfId="7" priority="9">
      <formula>$C6="Extensión u optativas"</formula>
    </cfRule>
  </conditionalFormatting>
  <dataValidations count="3">
    <dataValidation type="list" allowBlank="1" showErrorMessage="1" errorTitle="Valor no válido" error="Elegí Sí o No." sqref="E6:E23 E27:E57">
      <formula1>"Sí,No"</formula1>
    </dataValidation>
    <dataValidation type="list" allowBlank="1" showErrorMessage="1" errorTitle="Valor no válido" error="Elegí un área de la lista." sqref="C62:C77">
      <formula1>"Conocimientos Básicos y Generales,Teórico-Metodológico,Socioespacial,Sistemas Ambientales,Tecnologías de la Información Geográfica,Extensión u optativas"</formula1>
    </dataValidation>
    <dataValidation type="decimal" operator="greaterThanOrEqual" allowBlank="1" showErrorMessage="1" errorTitle="Valor no válido" error="Los créditos tienen que ser un número." sqref="D62:D77">
      <formula1>0</formula1>
    </dataValidation>
  </dataValidations>
  <pageMargins left="0.5" right="0.5" top="0.6" bottom="0.6" header="0.3" footer="0.3"/>
  <pageSetup paperSize="9" orientation="landscape" fitToWidth="1" fitToHeight="0"/>
</worksheet>
</file>